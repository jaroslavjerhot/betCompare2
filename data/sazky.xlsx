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rda\Documents\.My Life\Programovani\JS\betCompare2\data\"/>
    </mc:Choice>
  </mc:AlternateContent>
  <xr:revisionPtr revIDLastSave="0" documentId="8_{D8F689A8-4AFB-4DEE-8831-1C71AA2EA958}" xr6:coauthVersionLast="47" xr6:coauthVersionMax="47" xr10:uidLastSave="{00000000-0000-0000-0000-000000000000}"/>
  <bookViews>
    <workbookView xWindow="-108" yWindow="-108" windowWidth="23256" windowHeight="12456" activeTab="1" xr2:uid="{0F6010BB-25A0-4A82-AD9D-4BC49F16AB10}"/>
  </bookViews>
  <sheets>
    <sheet name="List1" sheetId="1" r:id="rId1"/>
    <sheet name="List2" sheetId="2" r:id="rId2"/>
  </sheets>
  <definedNames>
    <definedName name="_xlnm._FilterDatabase" localSheetId="1" hidden="1">List2!$A$1:$E$34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2" l="1"/>
  <c r="E3" i="2" s="1"/>
  <c r="D4" i="2"/>
  <c r="D5" i="2"/>
  <c r="D6" i="2"/>
  <c r="E6" i="2" s="1"/>
  <c r="D7" i="2"/>
  <c r="E7" i="2" s="1"/>
  <c r="D8" i="2"/>
  <c r="E8" i="2" s="1"/>
  <c r="D9" i="2"/>
  <c r="E9" i="2" s="1"/>
  <c r="D10" i="2"/>
  <c r="E10" i="2" s="1"/>
  <c r="D11" i="2"/>
  <c r="D12" i="2"/>
  <c r="E12" i="2" s="1"/>
  <c r="D13" i="2"/>
  <c r="E13" i="2" s="1"/>
  <c r="D14" i="2"/>
  <c r="E14" i="2" s="1"/>
  <c r="D15" i="2"/>
  <c r="E15" i="2" s="1"/>
  <c r="D16" i="2"/>
  <c r="E16" i="2" s="1"/>
  <c r="D17" i="2"/>
  <c r="D18" i="2"/>
  <c r="E18" i="2" s="1"/>
  <c r="D19" i="2"/>
  <c r="E19" i="2" s="1"/>
  <c r="D20" i="2"/>
  <c r="E20" i="2" s="1"/>
  <c r="D21" i="2"/>
  <c r="E21" i="2" s="1"/>
  <c r="D22" i="2"/>
  <c r="E22" i="2" s="1"/>
  <c r="D23" i="2"/>
  <c r="E23" i="2" s="1"/>
  <c r="D24" i="2"/>
  <c r="E24" i="2" s="1"/>
  <c r="D25" i="2"/>
  <c r="E25" i="2" s="1"/>
  <c r="D26" i="2"/>
  <c r="D27" i="2"/>
  <c r="E27" i="2" s="1"/>
  <c r="D28" i="2"/>
  <c r="E28" i="2" s="1"/>
  <c r="D29" i="2"/>
  <c r="E29" i="2" s="1"/>
  <c r="D30" i="2"/>
  <c r="E30" i="2" s="1"/>
  <c r="D31" i="2"/>
  <c r="D32" i="2"/>
  <c r="E32" i="2" s="1"/>
  <c r="D33" i="2"/>
  <c r="E33" i="2" s="1"/>
  <c r="D34" i="2"/>
  <c r="D2" i="2"/>
  <c r="E4" i="2"/>
  <c r="E5" i="2"/>
  <c r="C34" i="2" l="1"/>
  <c r="C31" i="2"/>
  <c r="C26" i="2"/>
  <c r="C17" i="2"/>
  <c r="C11" i="2"/>
  <c r="B3" i="1"/>
</calcChain>
</file>

<file path=xl/sharedStrings.xml><?xml version="1.0" encoding="utf-8"?>
<sst xmlns="http://schemas.openxmlformats.org/spreadsheetml/2006/main" count="7" uniqueCount="3">
  <si>
    <t>x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</si>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</sst>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-#,##0;"/>
    <numFmt numFmtId="165" formatCode="#,##0.00;\-#,##0.00;"/>
  </numFmts>
  <fonts count="1" x14ac:knownFonts="1">
    <font>
      <sz val="10"/>
      <color theme="1"/>
      <name val="IBM Plex Sans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9088E-AC58-4055-9D6D-7DF5BAF2DB98}">
  <dimension ref="B2:B3"/>
  <sheetViews>
    <sheetView workbookViewId="0">
      <selection activeCell="B3" sqref="B3"/>
    </sheetView>
  </sheetViews>
  <sheetFormatPr defaultRowHeight="16.2" x14ac:dyDescent="0.4"/>
  <cols>
    <col min="2" max="2" width="8.69921875" style="2" customWidth="1"/>
  </cols>
  <sheetData>
    <row r="2" spans="2:2" x14ac:dyDescent="0.4">
      <c r="B2" s="2">
        <v>99</v>
      </c>
    </row>
    <row r="3" spans="2:2" x14ac:dyDescent="0.4">
      <c r="B3" s="2">
        <f>(B2-97.5)/(100-97.5)*5+5</f>
        <v>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8BA93-4B3E-47DD-BFCA-7C18640909AF}">
  <dimension ref="A1:E34"/>
  <sheetViews>
    <sheetView tabSelected="1" workbookViewId="0">
      <pane ySplit="1" topLeftCell="A3" activePane="bottomLeft" state="frozen"/>
      <selection pane="bottomLeft" sqref="A1:A1048576"/>
    </sheetView>
  </sheetViews>
  <sheetFormatPr defaultRowHeight="16.2" x14ac:dyDescent="0.4"/>
  <cols>
    <col min="4" max="4" width="8.796875" style="1"/>
    <col min="5" max="5" width="8.69921875" style="2" customWidth="1"/>
  </cols>
  <sheetData>
    <row r="1" spans="1:5" x14ac:dyDescent="0.4">
      <c r="A1" t="s">
        <v>1</v>
      </c>
      <c r="B1" t="s">
        <v>2</v>
      </c>
    </row>
    <row r="2" spans="1:5" x14ac:dyDescent="0.4">
      <c r="A2">
        <v>655</v>
      </c>
      <c r="D2" s="1">
        <f>1/(1.05-1/A2*100)*100</f>
        <v>111.44193960017014</v>
      </c>
    </row>
    <row r="3" spans="1:5" x14ac:dyDescent="0.4">
      <c r="A3">
        <v>358</v>
      </c>
      <c r="C3">
        <v>-1</v>
      </c>
      <c r="D3" s="1">
        <f t="shared" ref="D3:D34" si="0">1/(1.05-1/A3*100)*100</f>
        <v>129.75715839072129</v>
      </c>
      <c r="E3" s="2">
        <f>D3/100-1</f>
        <v>0.29757158390721283</v>
      </c>
    </row>
    <row r="4" spans="1:5" x14ac:dyDescent="0.4">
      <c r="A4">
        <v>296</v>
      </c>
      <c r="C4">
        <v>-1</v>
      </c>
      <c r="D4" s="1">
        <f t="shared" si="0"/>
        <v>140.41745730550284</v>
      </c>
      <c r="E4" s="2">
        <f t="shared" ref="E4:E34" si="1">D4/100-1</f>
        <v>0.40417457305502835</v>
      </c>
    </row>
    <row r="5" spans="1:5" x14ac:dyDescent="0.4">
      <c r="A5">
        <v>710</v>
      </c>
      <c r="C5">
        <v>-1</v>
      </c>
      <c r="D5" s="1">
        <f t="shared" si="0"/>
        <v>109.99225406661503</v>
      </c>
      <c r="E5" s="2">
        <f t="shared" si="1"/>
        <v>9.9922540666150361E-2</v>
      </c>
    </row>
    <row r="6" spans="1:5" x14ac:dyDescent="0.4">
      <c r="A6">
        <v>528</v>
      </c>
      <c r="C6">
        <v>-1</v>
      </c>
      <c r="D6" s="1">
        <f t="shared" si="0"/>
        <v>116.19718309859155</v>
      </c>
      <c r="E6" s="2">
        <f t="shared" si="1"/>
        <v>0.1619718309859155</v>
      </c>
    </row>
    <row r="7" spans="1:5" x14ac:dyDescent="0.4">
      <c r="A7">
        <v>442</v>
      </c>
      <c r="C7">
        <v>-1</v>
      </c>
      <c r="D7" s="1">
        <f t="shared" si="0"/>
        <v>121.3952210931063</v>
      </c>
      <c r="E7" s="2">
        <f t="shared" si="1"/>
        <v>0.21395221093106298</v>
      </c>
    </row>
    <row r="8" spans="1:5" x14ac:dyDescent="0.4">
      <c r="A8">
        <v>557</v>
      </c>
      <c r="C8">
        <v>-1</v>
      </c>
      <c r="D8" s="1">
        <f t="shared" si="0"/>
        <v>114.88089099721563</v>
      </c>
      <c r="E8" s="2">
        <f t="shared" si="1"/>
        <v>0.14880890997215634</v>
      </c>
    </row>
    <row r="9" spans="1:5" x14ac:dyDescent="0.4">
      <c r="A9">
        <v>607</v>
      </c>
      <c r="C9">
        <v>-1</v>
      </c>
      <c r="D9" s="1">
        <f t="shared" si="0"/>
        <v>112.96175676933098</v>
      </c>
      <c r="E9" s="2">
        <f t="shared" si="1"/>
        <v>0.12961756769330979</v>
      </c>
    </row>
    <row r="10" spans="1:5" x14ac:dyDescent="0.4">
      <c r="A10">
        <v>213</v>
      </c>
      <c r="C10">
        <v>-1</v>
      </c>
      <c r="D10" s="1">
        <f t="shared" si="0"/>
        <v>172.26041245450867</v>
      </c>
      <c r="E10" s="2">
        <f t="shared" si="1"/>
        <v>0.72260412454508671</v>
      </c>
    </row>
    <row r="11" spans="1:5" x14ac:dyDescent="0.4">
      <c r="A11">
        <v>779</v>
      </c>
      <c r="B11" t="s">
        <v>0</v>
      </c>
      <c r="C11">
        <f>A11/100-1</f>
        <v>6.79</v>
      </c>
      <c r="D11" s="1">
        <f t="shared" si="0"/>
        <v>108.50337767253986</v>
      </c>
      <c r="E11" s="2">
        <v>-1</v>
      </c>
    </row>
    <row r="12" spans="1:5" x14ac:dyDescent="0.4">
      <c r="A12">
        <v>253</v>
      </c>
      <c r="C12">
        <v>-1</v>
      </c>
      <c r="D12" s="1">
        <f t="shared" si="0"/>
        <v>152.73166314518559</v>
      </c>
      <c r="E12" s="2">
        <f t="shared" si="1"/>
        <v>0.52731663145185603</v>
      </c>
    </row>
    <row r="13" spans="1:5" x14ac:dyDescent="0.4">
      <c r="A13">
        <v>385</v>
      </c>
      <c r="C13">
        <v>-1</v>
      </c>
      <c r="D13" s="1">
        <f t="shared" si="0"/>
        <v>126.54067378800326</v>
      </c>
      <c r="E13" s="2">
        <f t="shared" si="1"/>
        <v>0.26540673788003266</v>
      </c>
    </row>
    <row r="14" spans="1:5" x14ac:dyDescent="0.4">
      <c r="A14">
        <v>245</v>
      </c>
      <c r="C14">
        <v>-1</v>
      </c>
      <c r="D14" s="1">
        <f t="shared" si="0"/>
        <v>155.80286168521462</v>
      </c>
      <c r="E14" s="2">
        <f t="shared" si="1"/>
        <v>0.55802861685214622</v>
      </c>
    </row>
    <row r="15" spans="1:5" x14ac:dyDescent="0.4">
      <c r="A15">
        <v>422</v>
      </c>
      <c r="C15">
        <v>-1</v>
      </c>
      <c r="D15" s="1">
        <f t="shared" si="0"/>
        <v>122.99621101719616</v>
      </c>
      <c r="E15" s="2">
        <f t="shared" si="1"/>
        <v>0.22996211017196155</v>
      </c>
    </row>
    <row r="16" spans="1:5" x14ac:dyDescent="0.4">
      <c r="A16">
        <v>715</v>
      </c>
      <c r="C16">
        <v>-1</v>
      </c>
      <c r="D16" s="1">
        <f t="shared" si="0"/>
        <v>109.87322320399539</v>
      </c>
      <c r="E16" s="2">
        <f t="shared" si="1"/>
        <v>9.873223203995396E-2</v>
      </c>
    </row>
    <row r="17" spans="1:5" x14ac:dyDescent="0.4">
      <c r="A17">
        <v>620</v>
      </c>
      <c r="B17" t="s">
        <v>0</v>
      </c>
      <c r="C17">
        <f>A17/100-1</f>
        <v>5.2</v>
      </c>
      <c r="D17" s="1">
        <f t="shared" si="0"/>
        <v>112.52268602540833</v>
      </c>
      <c r="E17" s="2">
        <v>-1</v>
      </c>
    </row>
    <row r="18" spans="1:5" x14ac:dyDescent="0.4">
      <c r="A18">
        <v>280</v>
      </c>
      <c r="C18">
        <v>-1</v>
      </c>
      <c r="D18" s="1">
        <f t="shared" si="0"/>
        <v>144.32989690721649</v>
      </c>
      <c r="E18" s="2">
        <f t="shared" si="1"/>
        <v>0.44329896907216493</v>
      </c>
    </row>
    <row r="19" spans="1:5" x14ac:dyDescent="0.4">
      <c r="A19">
        <v>346</v>
      </c>
      <c r="C19">
        <v>-1</v>
      </c>
      <c r="D19" s="1">
        <f t="shared" si="0"/>
        <v>131.4090391188758</v>
      </c>
      <c r="E19" s="2">
        <f t="shared" si="1"/>
        <v>0.31409039118875803</v>
      </c>
    </row>
    <row r="20" spans="1:5" x14ac:dyDescent="0.4">
      <c r="A20">
        <v>588</v>
      </c>
      <c r="C20">
        <v>-1</v>
      </c>
      <c r="D20" s="1">
        <f t="shared" si="0"/>
        <v>113.64514882102822</v>
      </c>
      <c r="E20" s="2">
        <f t="shared" si="1"/>
        <v>0.13645148821028208</v>
      </c>
    </row>
    <row r="21" spans="1:5" x14ac:dyDescent="0.4">
      <c r="A21">
        <v>319</v>
      </c>
      <c r="C21">
        <v>-1</v>
      </c>
      <c r="D21" s="1">
        <f t="shared" si="0"/>
        <v>135.77356884443498</v>
      </c>
      <c r="E21" s="2">
        <f t="shared" si="1"/>
        <v>0.35773568844434966</v>
      </c>
    </row>
    <row r="22" spans="1:5" x14ac:dyDescent="0.4">
      <c r="A22">
        <v>670</v>
      </c>
      <c r="C22">
        <v>-1</v>
      </c>
      <c r="D22" s="1">
        <f t="shared" si="0"/>
        <v>111.01905550952776</v>
      </c>
      <c r="E22" s="2">
        <f t="shared" si="1"/>
        <v>0.11019055509527753</v>
      </c>
    </row>
    <row r="23" spans="1:5" x14ac:dyDescent="0.4">
      <c r="A23">
        <v>617</v>
      </c>
      <c r="C23">
        <v>-1</v>
      </c>
      <c r="D23" s="1">
        <f t="shared" si="0"/>
        <v>112.62206808432967</v>
      </c>
      <c r="E23" s="2">
        <f t="shared" si="1"/>
        <v>0.12622068084329663</v>
      </c>
    </row>
    <row r="24" spans="1:5" x14ac:dyDescent="0.4">
      <c r="A24">
        <v>411</v>
      </c>
      <c r="C24">
        <v>-1</v>
      </c>
      <c r="D24" s="1">
        <f t="shared" si="0"/>
        <v>123.96320313678177</v>
      </c>
      <c r="E24" s="2">
        <f t="shared" si="1"/>
        <v>0.23963203136781774</v>
      </c>
    </row>
    <row r="25" spans="1:5" x14ac:dyDescent="0.4">
      <c r="A25">
        <v>395</v>
      </c>
      <c r="C25">
        <v>-1</v>
      </c>
      <c r="D25" s="1">
        <f t="shared" si="0"/>
        <v>125.49642573471009</v>
      </c>
      <c r="E25" s="2">
        <f t="shared" si="1"/>
        <v>0.25496425734710093</v>
      </c>
    </row>
    <row r="26" spans="1:5" x14ac:dyDescent="0.4">
      <c r="A26">
        <v>688</v>
      </c>
      <c r="B26" t="s">
        <v>0</v>
      </c>
      <c r="C26">
        <f>A26/100-1</f>
        <v>5.88</v>
      </c>
      <c r="D26" s="1">
        <f t="shared" si="0"/>
        <v>110.53984575835476</v>
      </c>
      <c r="E26" s="2">
        <v>-1</v>
      </c>
    </row>
    <row r="27" spans="1:5" x14ac:dyDescent="0.4">
      <c r="A27">
        <v>519</v>
      </c>
      <c r="C27">
        <v>-1</v>
      </c>
      <c r="D27" s="1">
        <f t="shared" si="0"/>
        <v>116.64231936172602</v>
      </c>
      <c r="E27" s="2">
        <f t="shared" si="1"/>
        <v>0.16642319361726021</v>
      </c>
    </row>
    <row r="28" spans="1:5" x14ac:dyDescent="0.4">
      <c r="A28">
        <v>333</v>
      </c>
      <c r="C28">
        <v>-1</v>
      </c>
      <c r="D28" s="1">
        <f t="shared" si="0"/>
        <v>133.38674143801322</v>
      </c>
      <c r="E28" s="2">
        <f t="shared" si="1"/>
        <v>0.33386741438013212</v>
      </c>
    </row>
    <row r="29" spans="1:5" x14ac:dyDescent="0.4">
      <c r="A29">
        <v>391</v>
      </c>
      <c r="C29">
        <v>-1</v>
      </c>
      <c r="D29" s="1">
        <f t="shared" si="0"/>
        <v>125.90565126388664</v>
      </c>
      <c r="E29" s="2">
        <f t="shared" si="1"/>
        <v>0.25905651263886642</v>
      </c>
    </row>
    <row r="30" spans="1:5" x14ac:dyDescent="0.4">
      <c r="A30">
        <v>365</v>
      </c>
      <c r="C30">
        <v>-1</v>
      </c>
      <c r="D30" s="1">
        <f t="shared" si="0"/>
        <v>128.8614298323036</v>
      </c>
      <c r="E30" s="2">
        <f t="shared" si="1"/>
        <v>0.28861429832303598</v>
      </c>
    </row>
    <row r="31" spans="1:5" x14ac:dyDescent="0.4">
      <c r="A31">
        <v>166</v>
      </c>
      <c r="B31" t="s">
        <v>0</v>
      </c>
      <c r="C31">
        <f>A31/100-1</f>
        <v>0.65999999999999992</v>
      </c>
      <c r="D31" s="1">
        <f t="shared" si="0"/>
        <v>223.41857335127861</v>
      </c>
      <c r="E31" s="2">
        <v>-1</v>
      </c>
    </row>
    <row r="32" spans="1:5" x14ac:dyDescent="0.4">
      <c r="A32">
        <v>340</v>
      </c>
      <c r="C32">
        <v>-1</v>
      </c>
      <c r="D32" s="1">
        <f t="shared" si="0"/>
        <v>132.29571984435796</v>
      </c>
      <c r="E32" s="2">
        <f t="shared" si="1"/>
        <v>0.32295719844357951</v>
      </c>
    </row>
    <row r="33" spans="1:5" x14ac:dyDescent="0.4">
      <c r="A33">
        <v>394</v>
      </c>
      <c r="C33">
        <v>-1</v>
      </c>
      <c r="D33" s="1">
        <f t="shared" si="0"/>
        <v>125.59770481351609</v>
      </c>
      <c r="E33" s="2">
        <f t="shared" si="1"/>
        <v>0.25597704813516087</v>
      </c>
    </row>
    <row r="34" spans="1:5" x14ac:dyDescent="0.4">
      <c r="A34">
        <v>278</v>
      </c>
      <c r="B34" t="s">
        <v>0</v>
      </c>
      <c r="C34">
        <f>A34/100-1</f>
        <v>1.7799999999999998</v>
      </c>
      <c r="D34" s="1">
        <f t="shared" si="0"/>
        <v>144.86711829077643</v>
      </c>
      <c r="E34" s="2">
        <v>-1</v>
      </c>
    </row>
  </sheetData>
  <autoFilter ref="A1:E34" xr:uid="{97D8BA93-4B3E-47DD-BFCA-7C18640909AF}"/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Jerhot</dc:creator>
  <cp:lastModifiedBy>Jaroslav Jerhot</cp:lastModifiedBy>
  <dcterms:created xsi:type="dcterms:W3CDTF">2026-03-06T09:06:54Z</dcterms:created>
  <dcterms:modified xsi:type="dcterms:W3CDTF">2026-03-09T08:59:20Z</dcterms:modified>
</cp:coreProperties>
</file>